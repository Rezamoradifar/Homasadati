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ورودی‌ها" sheetId="2" state="visible" r:id="rId4"/>
    <sheet name="کارت‌ها" sheetId="3" state="visible" r:id="rId5"/>
    <sheet name="شبیه‌سازی هفتگی" sheetId="4" state="visible" r:id="rId6"/>
    <sheet name="نسبت پرداخ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FreeSans"/>
            <family val="2"/>
          </rPr>
          <t xml:space="preserve">سطح کارت را عوض کنید؛ تعداد میز و سقف از برگهٔ کارت‌ها خوانده می‌شود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<sst xmlns="http://schemas.openxmlformats.org/spreadsheetml/2006/main" count="107" uniqueCount="105">
  <si>
    <t xml:space="preserve">فایل شبیه‌سازی طرح هشت کارت باشگاه هما نت</t>
  </si>
  <si>
    <t xml:space="preserve">این فایل محاسبات طرح را با همان قواعدی انجام می‌دهد که در کد سایت ثبت شده است (src/platform/card-levels.ts و seven-card-model.ts).</t>
  </si>
  <si>
    <t xml:space="preserve">همهٔ مبالغ به «تومان» است.</t>
  </si>
  <si>
    <t xml:space="preserve">راهنمای رنگ‌ها:</t>
  </si>
  <si>
    <t xml:space="preserve">• عدد آبی = ورودی قابل تغییر. فقط این خانه‌ها را عوض کنید.</t>
  </si>
  <si>
    <t xml:space="preserve">• زمینهٔ زرد = فرض کلیدی طرح که هنوز باید توسط مدیریت نهایی شود.</t>
  </si>
  <si>
    <t xml:space="preserve">• عدد سیاه = فرمول (دست نزنید).  • عدد سبز = خوانده‌شده از برگهٔ دیگر.</t>
  </si>
  <si>
    <t xml:space="preserve">برگه‌ها:</t>
  </si>
  <si>
    <t xml:space="preserve">۱. «ورودی‌ها»: ثابت‌های طرح (حجم هر تعادل، پاداش، سقف هفتگی، کش‌بک سیمرغ، ووچر هر ۸ تعادل).</t>
  </si>
  <si>
    <t xml:space="preserve">۲. «کارت‌ها»: هشت کارت با حداقل خرید، تعداد میز کار، سقف پاداش هفتگی و بیشترین درآمد ممکن.</t>
  </si>
  <si>
    <t xml:space="preserve">۳. «شبیه‌سازی هفتگی»: کارت عضو و حجم فروش هفتگی دو سمت را وارد کنید تا تعادل‌ها، پاداش نقدی، ووچر، حجم سیوشده و جمع درآمد ۱۲ هفته محاسبه شود.</t>
  </si>
  <si>
    <t xml:space="preserve">۴. «نسبت پرداخت»: درصد پاداش نسبت به حجم فروش، برای بررسی پایداری طرح.</t>
  </si>
  <si>
    <t xml:space="preserve">محدودیت‌ها و فرض‌ها:</t>
  </si>
  <si>
    <t xml:space="preserve">• شبیه‌سازی در سطح «عضو» است: سقف همهٔ میزهای کار عضو با هم جمع می‌شود. در سایت، سقف برای هر میز جداگانه اعمال می‌شود؛ اگر حجم فروش بین میزها نامتوازن باشد، درآمد واقعی می‌تواند کمتر باشد.</t>
  </si>
  <si>
    <t xml:space="preserve">• حجم مصرف‌نشده سیو می‌شود و به هفتهٔ بعد می‌رود (طبق متن طرح).</t>
  </si>
  <si>
    <t xml:space="preserve">• شمارش «هر هشتمین تعادل ووچر است» مادام‌العمر است و هر هفته صفر نمی‌شود.</t>
  </si>
  <si>
    <t xml:space="preserve">• شش تصمیم طرح در پنل مدیریت هنوز ثبت نشده‌اند (مثلاً اینکه ووچر در سقف هفتگی حساب شود یا نه). این فایل آن‌ها را به‌صورت ورودی زرد گذاشته است.</t>
  </si>
  <si>
    <t xml:space="preserve">• این فایل برای برنامه‌ریزی و محاسبه است، نه وعدهٔ درآمد. درآمد واقعی به فروش واقعی و تصمیم‌های نهایی مدیریت بستگی دارد.</t>
  </si>
  <si>
    <t xml:space="preserve">ثابت‌های طرح (تومان)</t>
  </si>
  <si>
    <t xml:space="preserve">پارامتر</t>
  </si>
  <si>
    <t xml:space="preserve">مقدار</t>
  </si>
  <si>
    <t xml:space="preserve">توضیح / منبع</t>
  </si>
  <si>
    <t xml:space="preserve">حجم لازم برای هر تعادل در هر سمت</t>
  </si>
  <si>
    <t xml:space="preserve">MATCH_VOLUME در card-levels.ts؛ متن طرح: تعادل ۳۰ میلیون در هر سمت</t>
  </si>
  <si>
    <t xml:space="preserve">پاداش هر تعادل</t>
  </si>
  <si>
    <t xml:space="preserve">MATCH_REWARD؛ متن طرح: ۵ میلیون و ۴۰۰ هزار تومان</t>
  </si>
  <si>
    <t xml:space="preserve">سقف پاداش هفتگی هر میز کار</t>
  </si>
  <si>
    <t xml:space="preserve">DESK_WEEKLY_CAP؛ متن طرح: ۱۵ میلیون تومان در هفته برای هر جایگاه</t>
  </si>
  <si>
    <t xml:space="preserve">کش‌بک سیمرغ (خرید اولیهٔ یکجا از ۷۰ میلیون)</t>
  </si>
  <si>
    <t xml:space="preserve">SIMURGH_CASHBACK؛ فقط یک خرید اولیه، نه ارتقای تجمعی</t>
  </si>
  <si>
    <t xml:space="preserve">ووچر: هر چندمین تعادل ووچر است</t>
  </si>
  <si>
    <t xml:space="preserve">هر هشتمین تعادل (شمارش مادام‌العمر) به‌جای نقد، ووچر خرید است</t>
  </si>
  <si>
    <t xml:space="preserve">آیا ووچر در سقف هفتگی حساب می‌شود؟ (1=بله، 0=خیر)</t>
  </si>
  <si>
    <t xml:space="preserve">تصمیم مدیریت: voucherCountsTowardCap — هنوز ثبت نشده</t>
  </si>
  <si>
    <t xml:space="preserve">حداقل خرید برای کش‌بک سیمرغ</t>
  </si>
  <si>
    <t xml:space="preserve">simurghCashbackEligibility</t>
  </si>
  <si>
    <t xml:space="preserve">هشت کارت باشگاه (تومان)</t>
  </si>
  <si>
    <t xml:space="preserve">سطح</t>
  </si>
  <si>
    <t xml:space="preserve">نام کارت</t>
  </si>
  <si>
    <t xml:space="preserve">حداقل مبلغ خرید</t>
  </si>
  <si>
    <t xml:space="preserve">تعداد میز کار</t>
  </si>
  <si>
    <t xml:space="preserve">سقف پاداش هفتگی</t>
  </si>
  <si>
    <t xml:space="preserve">بیشترین تعادل نقدی در هفته</t>
  </si>
  <si>
    <t xml:space="preserve">بیشترین درآمد نقدی هفتگی</t>
  </si>
  <si>
    <t xml:space="preserve">حجم دو‌طرفهٔ لازم برای سقف</t>
  </si>
  <si>
    <t xml:space="preserve">جوانه</t>
  </si>
  <si>
    <t xml:space="preserve">سرو</t>
  </si>
  <si>
    <t xml:space="preserve">فیروزه</t>
  </si>
  <si>
    <t xml:space="preserve">یاقوت</t>
  </si>
  <si>
    <t xml:space="preserve">زمرد</t>
  </si>
  <si>
    <t xml:space="preserve">الماس</t>
  </si>
  <si>
    <t xml:space="preserve">سیمرغ</t>
  </si>
  <si>
    <t xml:space="preserve">آریا</t>
  </si>
  <si>
    <t xml:space="preserve">حداقل‌ها از متن طرح؛ کارت آریا از ۱۰۰ میلیون (تصمیم مالک). تعداد میز کار برابر سطح کارت است (desks = level).</t>
  </si>
  <si>
    <t xml:space="preserve">«بیشترین درآمد نقدی هفتگی» با فرض حجم کافی در هر دو سمت است و سهم ووچر را جدا حساب نمی‌کند.</t>
  </si>
  <si>
    <t xml:space="preserve">شبیه‌سازی ۱۲ هفتهٔ یک عضو (تومان)</t>
  </si>
  <si>
    <t xml:space="preserve">سطح کارت عضو (۱ تا ۸):</t>
  </si>
  <si>
    <t xml:space="preserve">مبلغ خرید اولیهٔ یکجا:</t>
  </si>
  <si>
    <t xml:space="preserve">کش‌بک سیمرغ:</t>
  </si>
  <si>
    <t xml:space="preserve">تعداد میز کار:</t>
  </si>
  <si>
    <t xml:space="preserve">تعادل‌های قبلی (مادام‌العمر):</t>
  </si>
  <si>
    <t xml:space="preserve">حجم سیوشدهٔ اولیه راست / چپ:</t>
  </si>
  <si>
    <t xml:space="preserve">هفته</t>
  </si>
  <si>
    <t xml:space="preserve">حجم جدید سمت راست</t>
  </si>
  <si>
    <t xml:space="preserve">حجم جدید سمت چپ</t>
  </si>
  <si>
    <t xml:space="preserve">موجودی راست</t>
  </si>
  <si>
    <t xml:space="preserve">موجودی چپ</t>
  </si>
  <si>
    <t xml:space="preserve">تعادل ممکن با حجم</t>
  </si>
  <si>
    <t xml:space="preserve">سقف تعادل (بدون ووچر)</t>
  </si>
  <si>
    <t xml:space="preserve">تعادل انجام‌شده</t>
  </si>
  <si>
    <t xml:space="preserve">از این تعداد ووچر</t>
  </si>
  <si>
    <t xml:space="preserve">پاداش نقدی</t>
  </si>
  <si>
    <t xml:space="preserve">ووچر خرید</t>
  </si>
  <si>
    <t xml:space="preserve">سیو راست</t>
  </si>
  <si>
    <t xml:space="preserve">سیو چپ</t>
  </si>
  <si>
    <t xml:space="preserve">شمارش تعادل تا کنون</t>
  </si>
  <si>
    <t xml:space="preserve">جمع درآمد تجمعی</t>
  </si>
  <si>
    <t xml:space="preserve">جمع</t>
  </si>
  <si>
    <t xml:space="preserve">جمع پاداش نقدی ۱۲ هفته</t>
  </si>
  <si>
    <t xml:space="preserve">جمع ووچر خرید</t>
  </si>
  <si>
    <t xml:space="preserve">کش‌بک سیمرغ</t>
  </si>
  <si>
    <t xml:space="preserve">جمع کل دریافتی</t>
  </si>
  <si>
    <t xml:space="preserve">مبلغ خرید اولیه</t>
  </si>
  <si>
    <t xml:space="preserve">نسبت دریافتی به خرید اولیه</t>
  </si>
  <si>
    <t xml:space="preserve">حجم سیوشدهٔ پایان دوره (راست)</t>
  </si>
  <si>
    <t xml:space="preserve">حجم سیوشدهٔ پایان دوره (چپ)</t>
  </si>
  <si>
    <t xml:space="preserve">حجم‌های آبی نمونه‌اند؛ اعداد واقعی فروش هفتگی هر سمت را جایگزین کنید.</t>
  </si>
  <si>
    <t xml:space="preserve">نسبت پاداش به فروش (پایداری طرح)</t>
  </si>
  <si>
    <t xml:space="preserve">شاخص</t>
  </si>
  <si>
    <t xml:space="preserve">توضیح</t>
  </si>
  <si>
    <t xml:space="preserve">حجم فروش پشت هر تعادل (دو سمت)</t>
  </si>
  <si>
    <t xml:space="preserve">هر تعادل ۳۰ میلیون از هر سمت مصرف می‌کند</t>
  </si>
  <si>
    <t xml:space="preserve">درصد پاداش از حجم فروش جفت‌شده</t>
  </si>
  <si>
    <t xml:space="preserve">سقف نظری هزینهٔ پاداش تعادل برای شرکت</t>
  </si>
  <si>
    <t xml:space="preserve">سهم نقدی (بدون ووچرها)</t>
  </si>
  <si>
    <t xml:space="preserve">هر هشتمین تعادل ووچر خرید است</t>
  </si>
  <si>
    <t xml:space="preserve">سهم ووچر</t>
  </si>
  <si>
    <t xml:space="preserve">ووچر به خرید کالا برمی‌گردد</t>
  </si>
  <si>
    <t xml:space="preserve">فروش هفتگی فرضی کل شبکه (ورودی)</t>
  </si>
  <si>
    <t xml:space="preserve">عدد نمونه؛ فروش واقعی را وارد کنید</t>
  </si>
  <si>
    <t xml:space="preserve">سهم فروشی که جفت می‌شود (ورودی)</t>
  </si>
  <si>
    <t xml:space="preserve">فرض: بخشی از فروش به‌دلیل عدم تعادل سیو می‌شود</t>
  </si>
  <si>
    <t xml:space="preserve">پاداش هفتگی تقریبی</t>
  </si>
  <si>
    <t xml:space="preserve">تعداد تعادل × پاداش (بدون اثر سقف هفتگی)</t>
  </si>
  <si>
    <t xml:space="preserve">درصد پاداش از کل فروش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</si>
</sst>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General"/>
    <numFmt numFmtId="167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A44"/>
      <name val="Tahoma"/>
      <family val="0"/>
      <charset val="1"/>
    </font>
    <font>
      <sz val="11"/>
      <name val="Tahoma"/>
      <family val="0"/>
      <charset val="1"/>
    </font>
    <font>
      <b val="true"/>
      <sz val="11"/>
      <name val="Tahoma"/>
      <family val="0"/>
      <charset val="1"/>
    </font>
    <font>
      <sz val="11"/>
      <color rgb="FF0000FF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9"/>
      <color rgb="FF5A6072"/>
      <name val="Tahoma"/>
      <family val="0"/>
      <charset val="1"/>
    </font>
    <font>
      <sz val="11"/>
      <color rgb="FF008000"/>
      <name val="Tahoma"/>
      <family val="0"/>
      <charset val="1"/>
    </font>
    <font>
      <sz val="11"/>
      <color theme="1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2A44"/>
        <bgColor rgb="FF003366"/>
      </patternFill>
    </fill>
    <fill>
      <patternFill patternType="solid">
        <fgColor rgb="FFF2E8D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995"/>
      </left>
      <right style="thin">
        <color rgb="FFC9B995"/>
      </right>
      <top style="thin">
        <color rgb="FFC9B995"/>
      </top>
      <bottom style="thin">
        <color rgb="FFC9B9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995"/>
      <rgbColor rgb="FF808080"/>
      <rgbColor rgb="FF9999FF"/>
      <rgbColor rgb="FF993366"/>
      <rgbColor rgb="FFF2E8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0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8.5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12</v>
      </c>
    </row>
    <row r="19" customFormat="false" ht="26.1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6.4" hidden="false" customHeight="false" outlineLevel="0" collapsed="false">
      <c r="A1" s="1" t="s">
        <v>18</v>
      </c>
    </row>
    <row r="3" customFormat="false" ht="15" hidden="false" customHeight="false" outlineLevel="0" collapsed="false">
      <c r="A3" s="6" t="s">
        <v>19</v>
      </c>
      <c r="B3" s="6" t="s">
        <v>20</v>
      </c>
      <c r="C3" s="6" t="s">
        <v>21</v>
      </c>
    </row>
    <row r="4" customFormat="false" ht="15" hidden="false" customHeight="false" outlineLevel="0" collapsed="false">
      <c r="A4" s="2" t="s">
        <v>22</v>
      </c>
      <c r="B4" s="7" t="n">
        <v>30000000</v>
      </c>
      <c r="C4" s="8" t="s">
        <v>23</v>
      </c>
    </row>
    <row r="5" customFormat="false" ht="15" hidden="false" customHeight="false" outlineLevel="0" collapsed="false">
      <c r="A5" s="2" t="s">
        <v>24</v>
      </c>
      <c r="B5" s="7" t="n">
        <v>5400000</v>
      </c>
      <c r="C5" s="8" t="s">
        <v>25</v>
      </c>
    </row>
    <row r="6" customFormat="false" ht="15" hidden="false" customHeight="false" outlineLevel="0" collapsed="false">
      <c r="A6" s="2" t="s">
        <v>26</v>
      </c>
      <c r="B6" s="7" t="n">
        <v>15000000</v>
      </c>
      <c r="C6" s="8" t="s">
        <v>27</v>
      </c>
    </row>
    <row r="7" customFormat="false" ht="15" hidden="false" customHeight="false" outlineLevel="0" collapsed="false">
      <c r="A7" s="2" t="s">
        <v>28</v>
      </c>
      <c r="B7" s="7" t="n">
        <v>6000000</v>
      </c>
      <c r="C7" s="8" t="s">
        <v>29</v>
      </c>
    </row>
    <row r="8" customFormat="false" ht="15" hidden="false" customHeight="false" outlineLevel="0" collapsed="false">
      <c r="A8" s="2" t="s">
        <v>30</v>
      </c>
      <c r="B8" s="7" t="n">
        <v>8</v>
      </c>
      <c r="C8" s="8" t="s">
        <v>31</v>
      </c>
    </row>
    <row r="9" customFormat="false" ht="15" hidden="false" customHeight="false" outlineLevel="0" collapsed="false">
      <c r="A9" s="2" t="s">
        <v>32</v>
      </c>
      <c r="B9" s="9" t="n">
        <v>1</v>
      </c>
      <c r="C9" s="8" t="s">
        <v>33</v>
      </c>
    </row>
    <row r="10" customFormat="false" ht="15" hidden="false" customHeight="false" outlineLevel="0" collapsed="false">
      <c r="A10" s="2" t="s">
        <v>34</v>
      </c>
      <c r="B10" s="7" t="n">
        <v>70000000</v>
      </c>
      <c r="C10" s="8" t="s">
        <v>35</v>
      </c>
    </row>
  </sheetData>
  <dataValidations count="1">
    <dataValidation allowBlank="false" errorStyle="stop" operator="between" showDropDown="false" showErrorMessage="false" showInputMessage="false" sqref="B9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22"/>
  </cols>
  <sheetData>
    <row r="1" customFormat="false" ht="16.4" hidden="false" customHeight="false" outlineLevel="0" collapsed="false">
      <c r="A1" s="1" t="s">
        <v>36</v>
      </c>
    </row>
    <row r="3" customFormat="false" ht="15" hidden="false" customHeight="false" outlineLevel="0" collapsed="false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</row>
    <row r="4" customFormat="false" ht="15" hidden="false" customHeight="false" outlineLevel="0" collapsed="false">
      <c r="A4" s="10" t="n">
        <v>1</v>
      </c>
      <c r="B4" s="10" t="s">
        <v>45</v>
      </c>
      <c r="C4" s="11" t="n">
        <v>10000000</v>
      </c>
      <c r="D4" s="12" t="n">
        <f aca="false">A4</f>
        <v>1</v>
      </c>
      <c r="E4" s="13" t="n">
        <f aca="false">D4*'ورودی‌ها'!$B$6</f>
        <v>15000000</v>
      </c>
      <c r="F4" s="13" t="n">
        <f aca="false">D4*INT('ورودی‌ها'!$B$6/'ورودی‌ها'!$B$5)</f>
        <v>2</v>
      </c>
      <c r="G4" s="13" t="n">
        <f aca="false">F4*'ورودی‌ها'!$B$5</f>
        <v>10800000</v>
      </c>
      <c r="H4" s="13" t="n">
        <f aca="false">F4*'ورودی‌ها'!$B$4*2</f>
        <v>120000000</v>
      </c>
    </row>
    <row r="5" customFormat="false" ht="15" hidden="false" customHeight="false" outlineLevel="0" collapsed="false">
      <c r="A5" s="10" t="n">
        <v>2</v>
      </c>
      <c r="B5" s="10" t="s">
        <v>46</v>
      </c>
      <c r="C5" s="11" t="n">
        <v>20000000</v>
      </c>
      <c r="D5" s="12" t="n">
        <f aca="false">A5</f>
        <v>2</v>
      </c>
      <c r="E5" s="13" t="n">
        <f aca="false">D5*'ورودی‌ها'!$B$6</f>
        <v>30000000</v>
      </c>
      <c r="F5" s="13" t="n">
        <f aca="false">D5*INT('ورودی‌ها'!$B$6/'ورودی‌ها'!$B$5)</f>
        <v>4</v>
      </c>
      <c r="G5" s="13" t="n">
        <f aca="false">F5*'ورودی‌ها'!$B$5</f>
        <v>21600000</v>
      </c>
      <c r="H5" s="13" t="n">
        <f aca="false">F5*'ورودی‌ها'!$B$4*2</f>
        <v>240000000</v>
      </c>
    </row>
    <row r="6" customFormat="false" ht="15" hidden="false" customHeight="false" outlineLevel="0" collapsed="false">
      <c r="A6" s="10" t="n">
        <v>3</v>
      </c>
      <c r="B6" s="10" t="s">
        <v>47</v>
      </c>
      <c r="C6" s="11" t="n">
        <v>30000000</v>
      </c>
      <c r="D6" s="12" t="n">
        <f aca="false">A6</f>
        <v>3</v>
      </c>
      <c r="E6" s="13" t="n">
        <f aca="false">D6*'ورودی‌ها'!$B$6</f>
        <v>45000000</v>
      </c>
      <c r="F6" s="13" t="n">
        <f aca="false">D6*INT('ورودی‌ها'!$B$6/'ورودی‌ها'!$B$5)</f>
        <v>6</v>
      </c>
      <c r="G6" s="13" t="n">
        <f aca="false">F6*'ورودی‌ها'!$B$5</f>
        <v>32400000</v>
      </c>
      <c r="H6" s="13" t="n">
        <f aca="false">F6*'ورودی‌ها'!$B$4*2</f>
        <v>360000000</v>
      </c>
    </row>
    <row r="7" customFormat="false" ht="15" hidden="false" customHeight="false" outlineLevel="0" collapsed="false">
      <c r="A7" s="10" t="n">
        <v>4</v>
      </c>
      <c r="B7" s="10" t="s">
        <v>48</v>
      </c>
      <c r="C7" s="11" t="n">
        <v>40000000</v>
      </c>
      <c r="D7" s="12" t="n">
        <f aca="false">A7</f>
        <v>4</v>
      </c>
      <c r="E7" s="13" t="n">
        <f aca="false">D7*'ورودی‌ها'!$B$6</f>
        <v>60000000</v>
      </c>
      <c r="F7" s="13" t="n">
        <f aca="false">D7*INT('ورودی‌ها'!$B$6/'ورودی‌ها'!$B$5)</f>
        <v>8</v>
      </c>
      <c r="G7" s="13" t="n">
        <f aca="false">F7*'ورودی‌ها'!$B$5</f>
        <v>43200000</v>
      </c>
      <c r="H7" s="13" t="n">
        <f aca="false">F7*'ورودی‌ها'!$B$4*2</f>
        <v>480000000</v>
      </c>
    </row>
    <row r="8" customFormat="false" ht="15" hidden="false" customHeight="false" outlineLevel="0" collapsed="false">
      <c r="A8" s="10" t="n">
        <v>5</v>
      </c>
      <c r="B8" s="10" t="s">
        <v>49</v>
      </c>
      <c r="C8" s="11" t="n">
        <v>50000000</v>
      </c>
      <c r="D8" s="12" t="n">
        <f aca="false">A8</f>
        <v>5</v>
      </c>
      <c r="E8" s="13" t="n">
        <f aca="false">D8*'ورودی‌ها'!$B$6</f>
        <v>75000000</v>
      </c>
      <c r="F8" s="13" t="n">
        <f aca="false">D8*INT('ورودی‌ها'!$B$6/'ورودی‌ها'!$B$5)</f>
        <v>10</v>
      </c>
      <c r="G8" s="13" t="n">
        <f aca="false">F8*'ورودی‌ها'!$B$5</f>
        <v>54000000</v>
      </c>
      <c r="H8" s="13" t="n">
        <f aca="false">F8*'ورودی‌ها'!$B$4*2</f>
        <v>600000000</v>
      </c>
    </row>
    <row r="9" customFormat="false" ht="15" hidden="false" customHeight="false" outlineLevel="0" collapsed="false">
      <c r="A9" s="10" t="n">
        <v>6</v>
      </c>
      <c r="B9" s="10" t="s">
        <v>50</v>
      </c>
      <c r="C9" s="11" t="n">
        <v>60000000</v>
      </c>
      <c r="D9" s="12" t="n">
        <f aca="false">A9</f>
        <v>6</v>
      </c>
      <c r="E9" s="13" t="n">
        <f aca="false">D9*'ورودی‌ها'!$B$6</f>
        <v>90000000</v>
      </c>
      <c r="F9" s="13" t="n">
        <f aca="false">D9*INT('ورودی‌ها'!$B$6/'ورودی‌ها'!$B$5)</f>
        <v>12</v>
      </c>
      <c r="G9" s="13" t="n">
        <f aca="false">F9*'ورودی‌ها'!$B$5</f>
        <v>64800000</v>
      </c>
      <c r="H9" s="13" t="n">
        <f aca="false">F9*'ورودی‌ها'!$B$4*2</f>
        <v>720000000</v>
      </c>
    </row>
    <row r="10" customFormat="false" ht="15" hidden="false" customHeight="false" outlineLevel="0" collapsed="false">
      <c r="A10" s="10" t="n">
        <v>7</v>
      </c>
      <c r="B10" s="10" t="s">
        <v>51</v>
      </c>
      <c r="C10" s="11" t="n">
        <v>70000000</v>
      </c>
      <c r="D10" s="12" t="n">
        <f aca="false">A10</f>
        <v>7</v>
      </c>
      <c r="E10" s="13" t="n">
        <f aca="false">D10*'ورودی‌ها'!$B$6</f>
        <v>105000000</v>
      </c>
      <c r="F10" s="13" t="n">
        <f aca="false">D10*INT('ورودی‌ها'!$B$6/'ورودی‌ها'!$B$5)</f>
        <v>14</v>
      </c>
      <c r="G10" s="13" t="n">
        <f aca="false">F10*'ورودی‌ها'!$B$5</f>
        <v>75600000</v>
      </c>
      <c r="H10" s="13" t="n">
        <f aca="false">F10*'ورودی‌ها'!$B$4*2</f>
        <v>840000000</v>
      </c>
    </row>
    <row r="11" customFormat="false" ht="15" hidden="false" customHeight="false" outlineLevel="0" collapsed="false">
      <c r="A11" s="10" t="n">
        <v>8</v>
      </c>
      <c r="B11" s="10" t="s">
        <v>52</v>
      </c>
      <c r="C11" s="11" t="n">
        <v>100000000</v>
      </c>
      <c r="D11" s="12" t="n">
        <f aca="false">A11</f>
        <v>8</v>
      </c>
      <c r="E11" s="13" t="n">
        <f aca="false">D11*'ورودی‌ها'!$B$6</f>
        <v>120000000</v>
      </c>
      <c r="F11" s="13" t="n">
        <f aca="false">D11*INT('ورودی‌ها'!$B$6/'ورودی‌ها'!$B$5)</f>
        <v>16</v>
      </c>
      <c r="G11" s="13" t="n">
        <f aca="false">F11*'ورودی‌ها'!$B$5</f>
        <v>86400000</v>
      </c>
      <c r="H11" s="13" t="n">
        <f aca="false">F11*'ورودی‌ها'!$B$4*2</f>
        <v>960000000</v>
      </c>
    </row>
    <row r="13" customFormat="false" ht="15" hidden="false" customHeight="false" outlineLevel="0" collapsed="false">
      <c r="A13" s="14" t="s">
        <v>53</v>
      </c>
    </row>
    <row r="14" customFormat="false" ht="15" hidden="false" customHeight="false" outlineLevel="0" collapsed="false">
      <c r="A14" s="1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5" min="4" style="0" width="17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3" min="12" style="0" width="17"/>
    <col collapsed="false" customWidth="true" hidden="false" outlineLevel="0" max="14" min="14" style="0" width="14"/>
    <col collapsed="false" customWidth="true" hidden="false" outlineLevel="0" max="15" min="15" style="0" width="18"/>
  </cols>
  <sheetData>
    <row r="1" customFormat="false" ht="16.4" hidden="false" customHeight="false" outlineLevel="0" collapsed="false">
      <c r="A1" s="1" t="s">
        <v>55</v>
      </c>
    </row>
    <row r="3" customFormat="false" ht="15" hidden="false" customHeight="false" outlineLevel="0" collapsed="false">
      <c r="A3" s="15" t="s">
        <v>56</v>
      </c>
      <c r="D3" s="16" t="n">
        <v>4</v>
      </c>
      <c r="E3" s="17" t="str">
        <f aca="false">INDEX('کارت‌ها'!$B$4:$B$11,$D$3)</f>
        <v>یاقوت</v>
      </c>
      <c r="F3" s="15" t="s">
        <v>57</v>
      </c>
      <c r="H3" s="7" t="n">
        <v>40000000</v>
      </c>
      <c r="I3" s="15" t="s">
        <v>58</v>
      </c>
      <c r="J3" s="18" t="n">
        <f aca="false">IF($H$3&gt;='ورودی‌ها'!$B$10,'ورودی‌ها'!$B$7,0)</f>
        <v>0</v>
      </c>
    </row>
    <row r="4" customFormat="false" ht="15" hidden="false" customHeight="false" outlineLevel="0" collapsed="false">
      <c r="A4" s="15" t="s">
        <v>59</v>
      </c>
      <c r="D4" s="17" t="n">
        <f aca="false">INDEX('کارت‌ها'!$D$4:$D$11,$D$3)</f>
        <v>4</v>
      </c>
      <c r="F4" s="15" t="s">
        <v>60</v>
      </c>
      <c r="H4" s="19" t="n">
        <v>0</v>
      </c>
    </row>
    <row r="5" customFormat="false" ht="15" hidden="false" customHeight="false" outlineLevel="0" collapsed="false">
      <c r="F5" s="15" t="s">
        <v>61</v>
      </c>
      <c r="H5" s="7" t="n">
        <v>0</v>
      </c>
      <c r="I5" s="7" t="n">
        <v>0</v>
      </c>
    </row>
    <row r="7" customFormat="false" ht="23.85" hidden="false" customHeight="false" outlineLevel="0" collapsed="false">
      <c r="A7" s="6" t="s">
        <v>62</v>
      </c>
      <c r="B7" s="6" t="s">
        <v>63</v>
      </c>
      <c r="C7" s="6" t="s">
        <v>64</v>
      </c>
      <c r="D7" s="6" t="s">
        <v>65</v>
      </c>
      <c r="E7" s="6" t="s">
        <v>66</v>
      </c>
      <c r="F7" s="6" t="s">
        <v>67</v>
      </c>
      <c r="G7" s="6" t="s">
        <v>68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73</v>
      </c>
      <c r="M7" s="6" t="s">
        <v>74</v>
      </c>
      <c r="N7" s="6" t="s">
        <v>75</v>
      </c>
      <c r="O7" s="6" t="s">
        <v>76</v>
      </c>
    </row>
    <row r="8" customFormat="false" ht="15" hidden="false" customHeight="false" outlineLevel="0" collapsed="false">
      <c r="A8" s="13" t="n">
        <v>1</v>
      </c>
      <c r="B8" s="11" t="n">
        <v>60000000</v>
      </c>
      <c r="C8" s="11" t="n">
        <v>45000000</v>
      </c>
      <c r="D8" s="13" t="n">
        <f aca="false">$H$5+B8</f>
        <v>60000000</v>
      </c>
      <c r="E8" s="13" t="n">
        <f aca="false">$I$5+C8</f>
        <v>45000000</v>
      </c>
      <c r="F8" s="13" t="n">
        <f aca="false">INT(MIN(D8,E8)/'ورودی‌ها'!$B$4)</f>
        <v>1</v>
      </c>
      <c r="G8" s="13" t="n">
        <f aca="false">$D$4*INT('ورودی‌ها'!$B$6/'ورودی‌ها'!$B$5)</f>
        <v>8</v>
      </c>
      <c r="H8" s="13" t="n">
        <f aca="false">IF('ورودی‌ها'!$B$9=1,MIN(F8,G8),MIN(F8,G8+(INT(($H$4+MIN(F8,G8))/'ورودی‌ها'!$B$8)-INT($H$4/'ورودی‌ها'!$B$8))))</f>
        <v>1</v>
      </c>
      <c r="I8" s="13" t="n">
        <f aca="false">INT(($H$4+H8)/'ورودی‌ها'!$B$8)-INT($H$4/'ورودی‌ها'!$B$8)</f>
        <v>0</v>
      </c>
      <c r="J8" s="13" t="n">
        <f aca="false">(H8-I8)*'ورودی‌ها'!$B$5</f>
        <v>5400000</v>
      </c>
      <c r="K8" s="13" t="n">
        <f aca="false">I8*'ورودی‌ها'!$B$5</f>
        <v>0</v>
      </c>
      <c r="L8" s="13" t="n">
        <f aca="false">D8-H8*'ورودی‌ها'!$B$4</f>
        <v>30000000</v>
      </c>
      <c r="M8" s="13" t="n">
        <f aca="false">E8-H8*'ورودی‌ها'!$B$4</f>
        <v>15000000</v>
      </c>
      <c r="N8" s="13" t="n">
        <f aca="false">$H$4+H8</f>
        <v>1</v>
      </c>
      <c r="O8" s="13" t="n">
        <f aca="false">$J$3+J8+K8</f>
        <v>5400000</v>
      </c>
    </row>
    <row r="9" customFormat="false" ht="15" hidden="false" customHeight="false" outlineLevel="0" collapsed="false">
      <c r="A9" s="13" t="n">
        <v>2</v>
      </c>
      <c r="B9" s="11" t="n">
        <v>30000000</v>
      </c>
      <c r="C9" s="11" t="n">
        <v>60000000</v>
      </c>
      <c r="D9" s="13" t="n">
        <f aca="false">L8+B9</f>
        <v>60000000</v>
      </c>
      <c r="E9" s="13" t="n">
        <f aca="false">M8+C9</f>
        <v>75000000</v>
      </c>
      <c r="F9" s="13" t="n">
        <f aca="false">INT(MIN(D9,E9)/'ورودی‌ها'!$B$4)</f>
        <v>2</v>
      </c>
      <c r="G9" s="13" t="n">
        <f aca="false">$D$4*INT('ورودی‌ها'!$B$6/'ورودی‌ها'!$B$5)</f>
        <v>8</v>
      </c>
      <c r="H9" s="13" t="n">
        <f aca="false">IF('ورودی‌ها'!$B$9=1,MIN(F9,G9),MIN(F9,G9+(INT((N8+MIN(F9,G9))/'ورودی‌ها'!$B$8)-INT(N8/'ورودی‌ها'!$B$8))))</f>
        <v>2</v>
      </c>
      <c r="I9" s="13" t="n">
        <f aca="false">INT((N8+H9)/'ورودی‌ها'!$B$8)-INT(N8/'ورودی‌ها'!$B$8)</f>
        <v>0</v>
      </c>
      <c r="J9" s="13" t="n">
        <f aca="false">(H9-I9)*'ورودی‌ها'!$B$5</f>
        <v>10800000</v>
      </c>
      <c r="K9" s="13" t="n">
        <f aca="false">I9*'ورودی‌ها'!$B$5</f>
        <v>0</v>
      </c>
      <c r="L9" s="13" t="n">
        <f aca="false">D9-H9*'ورودی‌ها'!$B$4</f>
        <v>0</v>
      </c>
      <c r="M9" s="13" t="n">
        <f aca="false">E9-H9*'ورودی‌ها'!$B$4</f>
        <v>15000000</v>
      </c>
      <c r="N9" s="13" t="n">
        <f aca="false">N8+H9</f>
        <v>3</v>
      </c>
      <c r="O9" s="13" t="n">
        <f aca="false">O8+J9+K9</f>
        <v>16200000</v>
      </c>
    </row>
    <row r="10" customFormat="false" ht="15" hidden="false" customHeight="false" outlineLevel="0" collapsed="false">
      <c r="A10" s="13" t="n">
        <v>3</v>
      </c>
      <c r="B10" s="11" t="n">
        <v>90000000</v>
      </c>
      <c r="C10" s="11" t="n">
        <v>30000000</v>
      </c>
      <c r="D10" s="13" t="n">
        <f aca="false">L9+B10</f>
        <v>90000000</v>
      </c>
      <c r="E10" s="13" t="n">
        <f aca="false">M9+C10</f>
        <v>45000000</v>
      </c>
      <c r="F10" s="13" t="n">
        <f aca="false">INT(MIN(D10,E10)/'ورودی‌ها'!$B$4)</f>
        <v>1</v>
      </c>
      <c r="G10" s="13" t="n">
        <f aca="false">$D$4*INT('ورودی‌ها'!$B$6/'ورودی‌ها'!$B$5)</f>
        <v>8</v>
      </c>
      <c r="H10" s="13" t="n">
        <f aca="false">IF('ورودی‌ها'!$B$9=1,MIN(F10,G10),MIN(F10,G10+(INT((N9+MIN(F10,G10))/'ورودی‌ها'!$B$8)-INT(N9/'ورودی‌ها'!$B$8))))</f>
        <v>1</v>
      </c>
      <c r="I10" s="13" t="n">
        <f aca="false">INT((N9+H10)/'ورودی‌ها'!$B$8)-INT(N9/'ورودی‌ها'!$B$8)</f>
        <v>0</v>
      </c>
      <c r="J10" s="13" t="n">
        <f aca="false">(H10-I10)*'ورودی‌ها'!$B$5</f>
        <v>5400000</v>
      </c>
      <c r="K10" s="13" t="n">
        <f aca="false">I10*'ورودی‌ها'!$B$5</f>
        <v>0</v>
      </c>
      <c r="L10" s="13" t="n">
        <f aca="false">D10-H10*'ورودی‌ها'!$B$4</f>
        <v>60000000</v>
      </c>
      <c r="M10" s="13" t="n">
        <f aca="false">E10-H10*'ورودی‌ها'!$B$4</f>
        <v>15000000</v>
      </c>
      <c r="N10" s="13" t="n">
        <f aca="false">N9+H10</f>
        <v>4</v>
      </c>
      <c r="O10" s="13" t="n">
        <f aca="false">O9+J10+K10</f>
        <v>21600000</v>
      </c>
    </row>
    <row r="11" customFormat="false" ht="15" hidden="false" customHeight="false" outlineLevel="0" collapsed="false">
      <c r="A11" s="13" t="n">
        <v>4</v>
      </c>
      <c r="B11" s="11" t="n">
        <v>45000000</v>
      </c>
      <c r="C11" s="11" t="n">
        <v>45000000</v>
      </c>
      <c r="D11" s="13" t="n">
        <f aca="false">L10+B11</f>
        <v>105000000</v>
      </c>
      <c r="E11" s="13" t="n">
        <f aca="false">M10+C11</f>
        <v>60000000</v>
      </c>
      <c r="F11" s="13" t="n">
        <f aca="false">INT(MIN(D11,E11)/'ورودی‌ها'!$B$4)</f>
        <v>2</v>
      </c>
      <c r="G11" s="13" t="n">
        <f aca="false">$D$4*INT('ورودی‌ها'!$B$6/'ورودی‌ها'!$B$5)</f>
        <v>8</v>
      </c>
      <c r="H11" s="13" t="n">
        <f aca="false">IF('ورودی‌ها'!$B$9=1,MIN(F11,G11),MIN(F11,G11+(INT((N10+MIN(F11,G11))/'ورودی‌ها'!$B$8)-INT(N10/'ورودی‌ها'!$B$8))))</f>
        <v>2</v>
      </c>
      <c r="I11" s="13" t="n">
        <f aca="false">INT((N10+H11)/'ورودی‌ها'!$B$8)-INT(N10/'ورودی‌ها'!$B$8)</f>
        <v>0</v>
      </c>
      <c r="J11" s="13" t="n">
        <f aca="false">(H11-I11)*'ورودی‌ها'!$B$5</f>
        <v>10800000</v>
      </c>
      <c r="K11" s="13" t="n">
        <f aca="false">I11*'ورودی‌ها'!$B$5</f>
        <v>0</v>
      </c>
      <c r="L11" s="13" t="n">
        <f aca="false">D11-H11*'ورودی‌ها'!$B$4</f>
        <v>45000000</v>
      </c>
      <c r="M11" s="13" t="n">
        <f aca="false">E11-H11*'ورودی‌ها'!$B$4</f>
        <v>0</v>
      </c>
      <c r="N11" s="13" t="n">
        <f aca="false">N10+H11</f>
        <v>6</v>
      </c>
      <c r="O11" s="13" t="n">
        <f aca="false">O10+J11+K11</f>
        <v>32400000</v>
      </c>
    </row>
    <row r="12" customFormat="false" ht="15" hidden="false" customHeight="false" outlineLevel="0" collapsed="false">
      <c r="A12" s="13" t="n">
        <v>5</v>
      </c>
      <c r="B12" s="11" t="n">
        <v>120000000</v>
      </c>
      <c r="C12" s="11" t="n">
        <v>90000000</v>
      </c>
      <c r="D12" s="13" t="n">
        <f aca="false">L11+B12</f>
        <v>165000000</v>
      </c>
      <c r="E12" s="13" t="n">
        <f aca="false">M11+C12</f>
        <v>90000000</v>
      </c>
      <c r="F12" s="13" t="n">
        <f aca="false">INT(MIN(D12,E12)/'ورودی‌ها'!$B$4)</f>
        <v>3</v>
      </c>
      <c r="G12" s="13" t="n">
        <f aca="false">$D$4*INT('ورودی‌ها'!$B$6/'ورودی‌ها'!$B$5)</f>
        <v>8</v>
      </c>
      <c r="H12" s="13" t="n">
        <f aca="false">IF('ورودی‌ها'!$B$9=1,MIN(F12,G12),MIN(F12,G12+(INT((N11+MIN(F12,G12))/'ورودی‌ها'!$B$8)-INT(N11/'ورودی‌ها'!$B$8))))</f>
        <v>3</v>
      </c>
      <c r="I12" s="13" t="n">
        <f aca="false">INT((N11+H12)/'ورودی‌ها'!$B$8)-INT(N11/'ورودی‌ها'!$B$8)</f>
        <v>1</v>
      </c>
      <c r="J12" s="13" t="n">
        <f aca="false">(H12-I12)*'ورودی‌ها'!$B$5</f>
        <v>10800000</v>
      </c>
      <c r="K12" s="13" t="n">
        <f aca="false">I12*'ورودی‌ها'!$B$5</f>
        <v>5400000</v>
      </c>
      <c r="L12" s="13" t="n">
        <f aca="false">D12-H12*'ورودی‌ها'!$B$4</f>
        <v>75000000</v>
      </c>
      <c r="M12" s="13" t="n">
        <f aca="false">E12-H12*'ورودی‌ها'!$B$4</f>
        <v>0</v>
      </c>
      <c r="N12" s="13" t="n">
        <f aca="false">N11+H12</f>
        <v>9</v>
      </c>
      <c r="O12" s="13" t="n">
        <f aca="false">O11+J12+K12</f>
        <v>48600000</v>
      </c>
    </row>
    <row r="13" customFormat="false" ht="15" hidden="false" customHeight="false" outlineLevel="0" collapsed="false">
      <c r="A13" s="13" t="n">
        <v>6</v>
      </c>
      <c r="B13" s="11" t="n">
        <v>30000000</v>
      </c>
      <c r="C13" s="11" t="n">
        <v>30000000</v>
      </c>
      <c r="D13" s="13" t="n">
        <f aca="false">L12+B13</f>
        <v>105000000</v>
      </c>
      <c r="E13" s="13" t="n">
        <f aca="false">M12+C13</f>
        <v>30000000</v>
      </c>
      <c r="F13" s="13" t="n">
        <f aca="false">INT(MIN(D13,E13)/'ورودی‌ها'!$B$4)</f>
        <v>1</v>
      </c>
      <c r="G13" s="13" t="n">
        <f aca="false">$D$4*INT('ورودی‌ها'!$B$6/'ورودی‌ها'!$B$5)</f>
        <v>8</v>
      </c>
      <c r="H13" s="13" t="n">
        <f aca="false">IF('ورودی‌ها'!$B$9=1,MIN(F13,G13),MIN(F13,G13+(INT((N12+MIN(F13,G13))/'ورودی‌ها'!$B$8)-INT(N12/'ورودی‌ها'!$B$8))))</f>
        <v>1</v>
      </c>
      <c r="I13" s="13" t="n">
        <f aca="false">INT((N12+H13)/'ورودی‌ها'!$B$8)-INT(N12/'ورودی‌ها'!$B$8)</f>
        <v>0</v>
      </c>
      <c r="J13" s="13" t="n">
        <f aca="false">(H13-I13)*'ورودی‌ها'!$B$5</f>
        <v>5400000</v>
      </c>
      <c r="K13" s="13" t="n">
        <f aca="false">I13*'ورودی‌ها'!$B$5</f>
        <v>0</v>
      </c>
      <c r="L13" s="13" t="n">
        <f aca="false">D13-H13*'ورودی‌ها'!$B$4</f>
        <v>75000000</v>
      </c>
      <c r="M13" s="13" t="n">
        <f aca="false">E13-H13*'ورودی‌ها'!$B$4</f>
        <v>0</v>
      </c>
      <c r="N13" s="13" t="n">
        <f aca="false">N12+H13</f>
        <v>10</v>
      </c>
      <c r="O13" s="13" t="n">
        <f aca="false">O12+J13+K13</f>
        <v>54000000</v>
      </c>
    </row>
    <row r="14" customFormat="false" ht="15" hidden="false" customHeight="false" outlineLevel="0" collapsed="false">
      <c r="A14" s="13" t="n">
        <v>7</v>
      </c>
      <c r="B14" s="11" t="n">
        <v>0</v>
      </c>
      <c r="C14" s="11" t="n">
        <v>60000000</v>
      </c>
      <c r="D14" s="13" t="n">
        <f aca="false">L13+B14</f>
        <v>75000000</v>
      </c>
      <c r="E14" s="13" t="n">
        <f aca="false">M13+C14</f>
        <v>60000000</v>
      </c>
      <c r="F14" s="13" t="n">
        <f aca="false">INT(MIN(D14,E14)/'ورودی‌ها'!$B$4)</f>
        <v>2</v>
      </c>
      <c r="G14" s="13" t="n">
        <f aca="false">$D$4*INT('ورودی‌ها'!$B$6/'ورودی‌ها'!$B$5)</f>
        <v>8</v>
      </c>
      <c r="H14" s="13" t="n">
        <f aca="false">IF('ورودی‌ها'!$B$9=1,MIN(F14,G14),MIN(F14,G14+(INT((N13+MIN(F14,G14))/'ورودی‌ها'!$B$8)-INT(N13/'ورودی‌ها'!$B$8))))</f>
        <v>2</v>
      </c>
      <c r="I14" s="13" t="n">
        <f aca="false">INT((N13+H14)/'ورودی‌ها'!$B$8)-INT(N13/'ورودی‌ها'!$B$8)</f>
        <v>0</v>
      </c>
      <c r="J14" s="13" t="n">
        <f aca="false">(H14-I14)*'ورودی‌ها'!$B$5</f>
        <v>10800000</v>
      </c>
      <c r="K14" s="13" t="n">
        <f aca="false">I14*'ورودی‌ها'!$B$5</f>
        <v>0</v>
      </c>
      <c r="L14" s="13" t="n">
        <f aca="false">D14-H14*'ورودی‌ها'!$B$4</f>
        <v>15000000</v>
      </c>
      <c r="M14" s="13" t="n">
        <f aca="false">E14-H14*'ورودی‌ها'!$B$4</f>
        <v>0</v>
      </c>
      <c r="N14" s="13" t="n">
        <f aca="false">N13+H14</f>
        <v>12</v>
      </c>
      <c r="O14" s="13" t="n">
        <f aca="false">O13+J14+K14</f>
        <v>64800000</v>
      </c>
    </row>
    <row r="15" customFormat="false" ht="15" hidden="false" customHeight="false" outlineLevel="0" collapsed="false">
      <c r="A15" s="13" t="n">
        <v>8</v>
      </c>
      <c r="B15" s="11" t="n">
        <v>60000000</v>
      </c>
      <c r="C15" s="11" t="n">
        <v>0</v>
      </c>
      <c r="D15" s="13" t="n">
        <f aca="false">L14+B15</f>
        <v>75000000</v>
      </c>
      <c r="E15" s="13" t="n">
        <f aca="false">M14+C15</f>
        <v>0</v>
      </c>
      <c r="F15" s="13" t="n">
        <f aca="false">INT(MIN(D15,E15)/'ورودی‌ها'!$B$4)</f>
        <v>0</v>
      </c>
      <c r="G15" s="13" t="n">
        <f aca="false">$D$4*INT('ورودی‌ها'!$B$6/'ورودی‌ها'!$B$5)</f>
        <v>8</v>
      </c>
      <c r="H15" s="13" t="n">
        <f aca="false">IF('ورودی‌ها'!$B$9=1,MIN(F15,G15),MIN(F15,G15+(INT((N14+MIN(F15,G15))/'ورودی‌ها'!$B$8)-INT(N14/'ورودی‌ها'!$B$8))))</f>
        <v>0</v>
      </c>
      <c r="I15" s="13" t="n">
        <f aca="false">INT((N14+H15)/'ورودی‌ها'!$B$8)-INT(N14/'ورودی‌ها'!$B$8)</f>
        <v>0</v>
      </c>
      <c r="J15" s="13" t="n">
        <f aca="false">(H15-I15)*'ورودی‌ها'!$B$5</f>
        <v>0</v>
      </c>
      <c r="K15" s="13" t="n">
        <f aca="false">I15*'ورودی‌ها'!$B$5</f>
        <v>0</v>
      </c>
      <c r="L15" s="13" t="n">
        <f aca="false">D15-H15*'ورودی‌ها'!$B$4</f>
        <v>75000000</v>
      </c>
      <c r="M15" s="13" t="n">
        <f aca="false">E15-H15*'ورودی‌ها'!$B$4</f>
        <v>0</v>
      </c>
      <c r="N15" s="13" t="n">
        <f aca="false">N14+H15</f>
        <v>12</v>
      </c>
      <c r="O15" s="13" t="n">
        <f aca="false">O14+J15+K15</f>
        <v>64800000</v>
      </c>
    </row>
    <row r="16" customFormat="false" ht="15" hidden="false" customHeight="false" outlineLevel="0" collapsed="false">
      <c r="A16" s="13" t="n">
        <v>9</v>
      </c>
      <c r="B16" s="11" t="n">
        <v>75000000</v>
      </c>
      <c r="C16" s="11" t="n">
        <v>75000000</v>
      </c>
      <c r="D16" s="13" t="n">
        <f aca="false">L15+B16</f>
        <v>150000000</v>
      </c>
      <c r="E16" s="13" t="n">
        <f aca="false">M15+C16</f>
        <v>75000000</v>
      </c>
      <c r="F16" s="13" t="n">
        <f aca="false">INT(MIN(D16,E16)/'ورودی‌ها'!$B$4)</f>
        <v>2</v>
      </c>
      <c r="G16" s="13" t="n">
        <f aca="false">$D$4*INT('ورودی‌ها'!$B$6/'ورودی‌ها'!$B$5)</f>
        <v>8</v>
      </c>
      <c r="H16" s="13" t="n">
        <f aca="false">IF('ورودی‌ها'!$B$9=1,MIN(F16,G16),MIN(F16,G16+(INT((N15+MIN(F16,G16))/'ورودی‌ها'!$B$8)-INT(N15/'ورودی‌ها'!$B$8))))</f>
        <v>2</v>
      </c>
      <c r="I16" s="13" t="n">
        <f aca="false">INT((N15+H16)/'ورودی‌ها'!$B$8)-INT(N15/'ورودی‌ها'!$B$8)</f>
        <v>0</v>
      </c>
      <c r="J16" s="13" t="n">
        <f aca="false">(H16-I16)*'ورودی‌ها'!$B$5</f>
        <v>10800000</v>
      </c>
      <c r="K16" s="13" t="n">
        <f aca="false">I16*'ورودی‌ها'!$B$5</f>
        <v>0</v>
      </c>
      <c r="L16" s="13" t="n">
        <f aca="false">D16-H16*'ورودی‌ها'!$B$4</f>
        <v>90000000</v>
      </c>
      <c r="M16" s="13" t="n">
        <f aca="false">E16-H16*'ورودی‌ها'!$B$4</f>
        <v>15000000</v>
      </c>
      <c r="N16" s="13" t="n">
        <f aca="false">N15+H16</f>
        <v>14</v>
      </c>
      <c r="O16" s="13" t="n">
        <f aca="false">O15+J16+K16</f>
        <v>75600000</v>
      </c>
    </row>
    <row r="17" customFormat="false" ht="15" hidden="false" customHeight="false" outlineLevel="0" collapsed="false">
      <c r="A17" s="13" t="n">
        <v>10</v>
      </c>
      <c r="B17" s="11" t="n">
        <v>30000000</v>
      </c>
      <c r="C17" s="11" t="n">
        <v>90000000</v>
      </c>
      <c r="D17" s="13" t="n">
        <f aca="false">L16+B17</f>
        <v>120000000</v>
      </c>
      <c r="E17" s="13" t="n">
        <f aca="false">M16+C17</f>
        <v>105000000</v>
      </c>
      <c r="F17" s="13" t="n">
        <f aca="false">INT(MIN(D17,E17)/'ورودی‌ها'!$B$4)</f>
        <v>3</v>
      </c>
      <c r="G17" s="13" t="n">
        <f aca="false">$D$4*INT('ورودی‌ها'!$B$6/'ورودی‌ها'!$B$5)</f>
        <v>8</v>
      </c>
      <c r="H17" s="13" t="n">
        <f aca="false">IF('ورودی‌ها'!$B$9=1,MIN(F17,G17),MIN(F17,G17+(INT((N16+MIN(F17,G17))/'ورودی‌ها'!$B$8)-INT(N16/'ورودی‌ها'!$B$8))))</f>
        <v>3</v>
      </c>
      <c r="I17" s="13" t="n">
        <f aca="false">INT((N16+H17)/'ورودی‌ها'!$B$8)-INT(N16/'ورودی‌ها'!$B$8)</f>
        <v>1</v>
      </c>
      <c r="J17" s="13" t="n">
        <f aca="false">(H17-I17)*'ورودی‌ها'!$B$5</f>
        <v>10800000</v>
      </c>
      <c r="K17" s="13" t="n">
        <f aca="false">I17*'ورودی‌ها'!$B$5</f>
        <v>5400000</v>
      </c>
      <c r="L17" s="13" t="n">
        <f aca="false">D17-H17*'ورودی‌ها'!$B$4</f>
        <v>30000000</v>
      </c>
      <c r="M17" s="13" t="n">
        <f aca="false">E17-H17*'ورودی‌ها'!$B$4</f>
        <v>15000000</v>
      </c>
      <c r="N17" s="13" t="n">
        <f aca="false">N16+H17</f>
        <v>17</v>
      </c>
      <c r="O17" s="13" t="n">
        <f aca="false">O16+J17+K17</f>
        <v>91800000</v>
      </c>
    </row>
    <row r="18" customFormat="false" ht="15" hidden="false" customHeight="false" outlineLevel="0" collapsed="false">
      <c r="A18" s="13" t="n">
        <v>11</v>
      </c>
      <c r="B18" s="11" t="n">
        <v>150000000</v>
      </c>
      <c r="C18" s="11" t="n">
        <v>120000000</v>
      </c>
      <c r="D18" s="13" t="n">
        <f aca="false">L17+B18</f>
        <v>180000000</v>
      </c>
      <c r="E18" s="13" t="n">
        <f aca="false">M17+C18</f>
        <v>135000000</v>
      </c>
      <c r="F18" s="13" t="n">
        <f aca="false">INT(MIN(D18,E18)/'ورودی‌ها'!$B$4)</f>
        <v>4</v>
      </c>
      <c r="G18" s="13" t="n">
        <f aca="false">$D$4*INT('ورودی‌ها'!$B$6/'ورودی‌ها'!$B$5)</f>
        <v>8</v>
      </c>
      <c r="H18" s="13" t="n">
        <f aca="false">IF('ورودی‌ها'!$B$9=1,MIN(F18,G18),MIN(F18,G18+(INT((N17+MIN(F18,G18))/'ورودی‌ها'!$B$8)-INT(N17/'ورودی‌ها'!$B$8))))</f>
        <v>4</v>
      </c>
      <c r="I18" s="13" t="n">
        <f aca="false">INT((N17+H18)/'ورودی‌ها'!$B$8)-INT(N17/'ورودی‌ها'!$B$8)</f>
        <v>0</v>
      </c>
      <c r="J18" s="13" t="n">
        <f aca="false">(H18-I18)*'ورودی‌ها'!$B$5</f>
        <v>21600000</v>
      </c>
      <c r="K18" s="13" t="n">
        <f aca="false">I18*'ورودی‌ها'!$B$5</f>
        <v>0</v>
      </c>
      <c r="L18" s="13" t="n">
        <f aca="false">D18-H18*'ورودی‌ها'!$B$4</f>
        <v>60000000</v>
      </c>
      <c r="M18" s="13" t="n">
        <f aca="false">E18-H18*'ورودی‌ها'!$B$4</f>
        <v>15000000</v>
      </c>
      <c r="N18" s="13" t="n">
        <f aca="false">N17+H18</f>
        <v>21</v>
      </c>
      <c r="O18" s="13" t="n">
        <f aca="false">O17+J18+K18</f>
        <v>113400000</v>
      </c>
    </row>
    <row r="19" customFormat="false" ht="15" hidden="false" customHeight="false" outlineLevel="0" collapsed="false">
      <c r="A19" s="13" t="n">
        <v>12</v>
      </c>
      <c r="B19" s="11" t="n">
        <v>60000000</v>
      </c>
      <c r="C19" s="11" t="n">
        <v>60000000</v>
      </c>
      <c r="D19" s="13" t="n">
        <f aca="false">L18+B19</f>
        <v>120000000</v>
      </c>
      <c r="E19" s="13" t="n">
        <f aca="false">M18+C19</f>
        <v>75000000</v>
      </c>
      <c r="F19" s="13" t="n">
        <f aca="false">INT(MIN(D19,E19)/'ورودی‌ها'!$B$4)</f>
        <v>2</v>
      </c>
      <c r="G19" s="13" t="n">
        <f aca="false">$D$4*INT('ورودی‌ها'!$B$6/'ورودی‌ها'!$B$5)</f>
        <v>8</v>
      </c>
      <c r="H19" s="13" t="n">
        <f aca="false">IF('ورودی‌ها'!$B$9=1,MIN(F19,G19),MIN(F19,G19+(INT((N18+MIN(F19,G19))/'ورودی‌ها'!$B$8)-INT(N18/'ورودی‌ها'!$B$8))))</f>
        <v>2</v>
      </c>
      <c r="I19" s="13" t="n">
        <f aca="false">INT((N18+H19)/'ورودی‌ها'!$B$8)-INT(N18/'ورودی‌ها'!$B$8)</f>
        <v>0</v>
      </c>
      <c r="J19" s="13" t="n">
        <f aca="false">(H19-I19)*'ورودی‌ها'!$B$5</f>
        <v>10800000</v>
      </c>
      <c r="K19" s="13" t="n">
        <f aca="false">I19*'ورودی‌ها'!$B$5</f>
        <v>0</v>
      </c>
      <c r="L19" s="13" t="n">
        <f aca="false">D19-H19*'ورودی‌ها'!$B$4</f>
        <v>60000000</v>
      </c>
      <c r="M19" s="13" t="n">
        <f aca="false">E19-H19*'ورودی‌ها'!$B$4</f>
        <v>15000000</v>
      </c>
      <c r="N19" s="13" t="n">
        <f aca="false">N18+H19</f>
        <v>23</v>
      </c>
      <c r="O19" s="13" t="n">
        <f aca="false">O18+J19+K19</f>
        <v>124200000</v>
      </c>
    </row>
    <row r="20" customFormat="false" ht="15" hidden="false" customHeight="false" outlineLevel="0" collapsed="false">
      <c r="A20" s="20" t="s">
        <v>77</v>
      </c>
      <c r="B20" s="21" t="n">
        <f aca="false">SUM(B8:B19)</f>
        <v>750000000</v>
      </c>
      <c r="C20" s="21" t="n">
        <f aca="false">SUM(C8:C19)</f>
        <v>705000000</v>
      </c>
      <c r="D20" s="22"/>
      <c r="E20" s="22"/>
      <c r="F20" s="22"/>
      <c r="G20" s="22"/>
      <c r="H20" s="21" t="n">
        <f aca="false">SUM(H8:H19)</f>
        <v>23</v>
      </c>
      <c r="I20" s="21" t="n">
        <f aca="false">SUM(I8:I19)</f>
        <v>2</v>
      </c>
      <c r="J20" s="21" t="n">
        <f aca="false">SUM(J8:J19)</f>
        <v>113400000</v>
      </c>
      <c r="K20" s="21" t="n">
        <f aca="false">SUM(K8:K19)</f>
        <v>10800000</v>
      </c>
      <c r="L20" s="22"/>
      <c r="M20" s="22"/>
      <c r="N20" s="22"/>
      <c r="O20" s="22"/>
    </row>
    <row r="22" customFormat="false" ht="15" hidden="false" customHeight="false" outlineLevel="0" collapsed="false">
      <c r="B22" s="15" t="s">
        <v>78</v>
      </c>
      <c r="D22" s="23" t="n">
        <f aca="false">J20</f>
        <v>113400000</v>
      </c>
    </row>
    <row r="23" customFormat="false" ht="15" hidden="false" customHeight="false" outlineLevel="0" collapsed="false">
      <c r="B23" s="15" t="s">
        <v>79</v>
      </c>
      <c r="D23" s="23" t="n">
        <f aca="false">K20</f>
        <v>10800000</v>
      </c>
    </row>
    <row r="24" customFormat="false" ht="15" hidden="false" customHeight="false" outlineLevel="0" collapsed="false">
      <c r="B24" s="15" t="s">
        <v>80</v>
      </c>
      <c r="D24" s="23" t="n">
        <f aca="false">$J$3</f>
        <v>0</v>
      </c>
    </row>
    <row r="25" customFormat="false" ht="15" hidden="false" customHeight="false" outlineLevel="0" collapsed="false">
      <c r="B25" s="15" t="s">
        <v>81</v>
      </c>
      <c r="D25" s="23" t="n">
        <f aca="false">O19</f>
        <v>124200000</v>
      </c>
    </row>
    <row r="26" customFormat="false" ht="15" hidden="false" customHeight="false" outlineLevel="0" collapsed="false">
      <c r="B26" s="15" t="s">
        <v>82</v>
      </c>
      <c r="D26" s="23" t="n">
        <f aca="false">$H$3</f>
        <v>40000000</v>
      </c>
    </row>
    <row r="27" customFormat="false" ht="15" hidden="false" customHeight="false" outlineLevel="0" collapsed="false">
      <c r="B27" s="15" t="s">
        <v>83</v>
      </c>
      <c r="D27" s="24" t="n">
        <f aca="false">IF($H$3&gt;0,O19/$H$3,0)</f>
        <v>3.105</v>
      </c>
    </row>
    <row r="28" customFormat="false" ht="15" hidden="false" customHeight="false" outlineLevel="0" collapsed="false">
      <c r="B28" s="15" t="s">
        <v>84</v>
      </c>
      <c r="D28" s="23" t="n">
        <f aca="false">L19</f>
        <v>60000000</v>
      </c>
    </row>
    <row r="29" customFormat="false" ht="15" hidden="false" customHeight="false" outlineLevel="0" collapsed="false">
      <c r="B29" s="15" t="s">
        <v>85</v>
      </c>
      <c r="D29" s="23" t="n">
        <f aca="false">M19</f>
        <v>15000000</v>
      </c>
    </row>
    <row r="31" customFormat="false" ht="15" hidden="false" customHeight="false" outlineLevel="0" collapsed="false">
      <c r="B31" s="14" t="s">
        <v>86</v>
      </c>
    </row>
  </sheetData>
  <dataValidations count="1">
    <dataValidation allowBlank="false" errorStyle="stop" operator="between" showDropDown="false" showErrorMessage="false" showInputMessage="false" sqref="D3" type="whole">
      <formula1>1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6.4" hidden="false" customHeight="false" outlineLevel="0" collapsed="false">
      <c r="A1" s="1" t="s">
        <v>87</v>
      </c>
    </row>
    <row r="3" customFormat="false" ht="15" hidden="false" customHeight="false" outlineLevel="0" collapsed="false">
      <c r="A3" s="6" t="s">
        <v>88</v>
      </c>
      <c r="B3" s="6" t="s">
        <v>20</v>
      </c>
      <c r="C3" s="6" t="s">
        <v>89</v>
      </c>
    </row>
    <row r="4" customFormat="false" ht="15" hidden="false" customHeight="false" outlineLevel="0" collapsed="false">
      <c r="A4" s="2" t="s">
        <v>90</v>
      </c>
      <c r="B4" s="23" t="n">
        <f aca="false">'ورودی‌ها'!$B$4*2</f>
        <v>60000000</v>
      </c>
      <c r="C4" s="14" t="s">
        <v>91</v>
      </c>
    </row>
    <row r="5" customFormat="false" ht="15" hidden="false" customHeight="false" outlineLevel="0" collapsed="false">
      <c r="A5" s="2" t="s">
        <v>24</v>
      </c>
      <c r="B5" s="23" t="n">
        <f aca="false">'ورودی‌ها'!$B$5</f>
        <v>5400000</v>
      </c>
      <c r="C5" s="14"/>
    </row>
    <row r="6" customFormat="false" ht="15" hidden="false" customHeight="false" outlineLevel="0" collapsed="false">
      <c r="A6" s="2" t="s">
        <v>92</v>
      </c>
      <c r="B6" s="24" t="n">
        <f aca="false">IF(B4&gt;0,B5/B4,0)</f>
        <v>0.09</v>
      </c>
      <c r="C6" s="14" t="s">
        <v>93</v>
      </c>
    </row>
    <row r="7" customFormat="false" ht="15" hidden="false" customHeight="false" outlineLevel="0" collapsed="false">
      <c r="A7" s="2" t="s">
        <v>94</v>
      </c>
      <c r="B7" s="24" t="n">
        <f aca="false">B6*('ورودی‌ها'!$B$8-1)/'ورودی‌ها'!$B$8</f>
        <v>0.07875</v>
      </c>
      <c r="C7" s="14" t="s">
        <v>95</v>
      </c>
    </row>
    <row r="8" customFormat="false" ht="15" hidden="false" customHeight="false" outlineLevel="0" collapsed="false">
      <c r="A8" s="2" t="s">
        <v>96</v>
      </c>
      <c r="B8" s="24" t="n">
        <f aca="false">B6/'ورودی‌ها'!$B$8</f>
        <v>0.01125</v>
      </c>
      <c r="C8" s="14" t="s">
        <v>97</v>
      </c>
    </row>
    <row r="9" customFormat="false" ht="15" hidden="false" customHeight="false" outlineLevel="0" collapsed="false">
      <c r="A9" s="2" t="s">
        <v>98</v>
      </c>
      <c r="B9" s="9" t="n">
        <v>1000000000</v>
      </c>
      <c r="C9" s="14" t="s">
        <v>99</v>
      </c>
    </row>
    <row r="10" customFormat="false" ht="15" hidden="false" customHeight="false" outlineLevel="0" collapsed="false">
      <c r="A10" s="2" t="s">
        <v>100</v>
      </c>
      <c r="B10" s="25" t="n">
        <v>0.6</v>
      </c>
      <c r="C10" s="14" t="s">
        <v>101</v>
      </c>
    </row>
    <row r="11" customFormat="false" ht="12.65" hidden="false" customHeight="false" outlineLevel="0" collapsed="false">
      <c r="A11" s="2" t="s">
        <v>102</v>
      </c>
      <c r="B11" s="23" t="n">
        <f aca="false">B9*B10/2/'ورودی‌ها'!$B$4*'ورودی‌ها'!$B$5</f>
        <v>54000000</v>
      </c>
      <c r="C11" s="14" t="s">
        <v>103</v>
      </c>
    </row>
    <row r="12" customFormat="false" ht="15" hidden="false" customHeight="false" outlineLevel="0" collapsed="false">
      <c r="A12" s="2" t="s">
        <v>104</v>
      </c>
      <c r="B12" s="24" t="n">
        <f aca="false">IF(B9&gt;0,B11/B9,0)</f>
        <v>0.054</v>
      </c>
      <c r="C1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2026-09-29T01:53:40Z</dcterms:created>
  <dc:creator>openpyxl</dc:creator>
  <dc:description/>
  <dc:language>en-US</dc:language>
  <cp:lastModifiedBy/>
  <dcterms:modified xsi:type="dcterms:W3CDTF">2026-09-29T01:53:40Z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